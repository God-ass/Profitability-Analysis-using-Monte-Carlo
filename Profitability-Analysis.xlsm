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D:\vba\part 3\monte\"/>
    </mc:Choice>
  </mc:AlternateContent>
  <xr:revisionPtr revIDLastSave="0" documentId="13_ncr:1_{B8F6B690-F406-4D21-B753-6E8F740C0B2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ain" sheetId="1" r:id="rId1"/>
    <sheet name="Histogram" sheetId="76" r:id="rId2"/>
    <sheet name="Histogram Data" sheetId="2" r:id="rId3"/>
  </sheets>
  <functionGroups builtInGroupCount="19"/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H19" i="1"/>
  <c r="E19" i="1"/>
  <c r="J18" i="1"/>
  <c r="I18" i="1"/>
  <c r="H18" i="1"/>
  <c r="E18" i="1"/>
  <c r="J17" i="1"/>
  <c r="I17" i="1"/>
  <c r="H17" i="1"/>
  <c r="E17" i="1"/>
  <c r="J16" i="1"/>
  <c r="I16" i="1"/>
  <c r="H16" i="1"/>
  <c r="E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H12" i="1"/>
  <c r="E12" i="1"/>
  <c r="F11" i="1"/>
  <c r="C11" i="1"/>
  <c r="B11" i="1"/>
  <c r="D10" i="1"/>
  <c r="B10" i="1"/>
  <c r="K12" i="1" l="1"/>
  <c r="L12" i="1" s="1"/>
  <c r="M12" i="1" s="1"/>
  <c r="K22" i="1"/>
  <c r="L22" i="1" s="1"/>
  <c r="M22" i="1" s="1"/>
  <c r="K21" i="1"/>
  <c r="L21" i="1" s="1"/>
  <c r="M21" i="1" s="1"/>
  <c r="K23" i="1"/>
  <c r="L23" i="1" s="1"/>
  <c r="M23" i="1" s="1"/>
  <c r="K24" i="1"/>
  <c r="L24" i="1" s="1"/>
  <c r="M24" i="1" s="1"/>
  <c r="K20" i="1"/>
  <c r="L20" i="1" s="1"/>
  <c r="M20" i="1" s="1"/>
  <c r="L11" i="1"/>
  <c r="M11" i="1" s="1"/>
  <c r="K13" i="1"/>
  <c r="L13" i="1" s="1"/>
  <c r="M13" i="1" s="1"/>
  <c r="K15" i="1"/>
  <c r="L15" i="1" s="1"/>
  <c r="M15" i="1" s="1"/>
  <c r="K16" i="1"/>
  <c r="L16" i="1" s="1"/>
  <c r="M16" i="1" s="1"/>
  <c r="K18" i="1"/>
  <c r="L18" i="1" s="1"/>
  <c r="M18" i="1" s="1"/>
  <c r="K19" i="1"/>
  <c r="L19" i="1" s="1"/>
  <c r="M19" i="1" s="1"/>
  <c r="K14" i="1"/>
  <c r="L14" i="1" s="1"/>
  <c r="M14" i="1" s="1"/>
  <c r="K17" i="1"/>
  <c r="L17" i="1" s="1"/>
  <c r="M17" i="1" s="1"/>
  <c r="L10" i="1"/>
  <c r="M10" i="1" s="1"/>
  <c r="N10" i="1" s="1"/>
  <c r="N11" i="1" l="1"/>
  <c r="N12" i="1" s="1"/>
  <c r="N13" i="1" s="1"/>
  <c r="N14" i="1" s="1"/>
  <c r="N15" i="1" s="1"/>
  <c r="N16" i="1" s="1"/>
  <c r="N17" i="1" s="1"/>
  <c r="N18" i="1" s="1"/>
  <c r="N19" i="1" l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<sst xmlns="http://schemas.openxmlformats.org/spreadsheetml/2006/main" count="28" uniqueCount="23">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</sst>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0.0%"/>
    <numFmt numFmtId="166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164" fontId="0" fillId="0" borderId="0" xfId="1" applyFont="1"/>
    <xf numFmtId="164" fontId="0" fillId="0" borderId="0" xfId="0" applyNumberFormat="1"/>
    <xf numFmtId="0" fontId="0" fillId="0" borderId="0" xfId="0" quotePrefix="1"/>
    <xf numFmtId="2" fontId="0" fillId="2" borderId="2" xfId="0" applyNumberFormat="1" applyFill="1" applyBorder="1"/>
    <xf numFmtId="2" fontId="0" fillId="2" borderId="3" xfId="0" applyNumberFormat="1" applyFill="1" applyBorder="1"/>
    <xf numFmtId="165" fontId="0" fillId="2" borderId="4" xfId="2" applyNumberFormat="1" applyFont="1" applyFill="1" applyBorder="1"/>
    <xf numFmtId="166" fontId="0" fillId="2" borderId="3" xfId="0" applyNumberFormat="1" applyFill="1" applyBorder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  <xf numFmtId="166" fontId="0" fillId="2" borderId="4" xfId="0" applyNumberFormat="1" applyFill="1" applyBorder="1"/>
    <xf numFmtId="166" fontId="0" fillId="2" borderId="2" xfId="0" applyNumberFormat="1" applyFill="1" applyBorder="1"/>
    <xf numFmtId="0" fontId="0" fillId="2" borderId="4" xfId="0" applyNumberFormat="1" applyFill="1" applyBorder="1"/>
    <xf numFmtId="0" fontId="0" fillId="2" borderId="2" xfId="0" applyNumberForma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Data'!$A$1:$A$21</c:f>
              <c:numCache>
                <c:formatCode>General</c:formatCode>
                <c:ptCount val="21"/>
                <c:pt idx="0">
                  <c:v>-76</c:v>
                </c:pt>
                <c:pt idx="1">
                  <c:v>-68</c:v>
                </c:pt>
                <c:pt idx="2">
                  <c:v>-60</c:v>
                </c:pt>
                <c:pt idx="3">
                  <c:v>-52</c:v>
                </c:pt>
                <c:pt idx="4">
                  <c:v>-44</c:v>
                </c:pt>
                <c:pt idx="5">
                  <c:v>-36</c:v>
                </c:pt>
                <c:pt idx="6">
                  <c:v>-28</c:v>
                </c:pt>
                <c:pt idx="7">
                  <c:v>-20</c:v>
                </c:pt>
                <c:pt idx="8">
                  <c:v>-12</c:v>
                </c:pt>
                <c:pt idx="9">
                  <c:v>-4</c:v>
                </c:pt>
                <c:pt idx="10">
                  <c:v>4</c:v>
                </c:pt>
                <c:pt idx="11">
                  <c:v>12</c:v>
                </c:pt>
                <c:pt idx="12">
                  <c:v>20</c:v>
                </c:pt>
                <c:pt idx="13">
                  <c:v>28</c:v>
                </c:pt>
                <c:pt idx="14">
                  <c:v>36</c:v>
                </c:pt>
                <c:pt idx="15">
                  <c:v>44</c:v>
                </c:pt>
                <c:pt idx="16">
                  <c:v>52</c:v>
                </c:pt>
                <c:pt idx="17">
                  <c:v>60</c:v>
                </c:pt>
                <c:pt idx="18">
                  <c:v>68</c:v>
                </c:pt>
                <c:pt idx="19">
                  <c:v>76</c:v>
                </c:pt>
                <c:pt idx="20">
                  <c:v>84</c:v>
                </c:pt>
              </c:numCache>
            </c:numRef>
          </c:cat>
          <c:val>
            <c:numRef>
              <c:f>'Histogram Data'!$B$1:$B$21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13</c:v>
                </c:pt>
                <c:pt idx="3">
                  <c:v>22</c:v>
                </c:pt>
                <c:pt idx="4">
                  <c:v>51</c:v>
                </c:pt>
                <c:pt idx="5">
                  <c:v>66</c:v>
                </c:pt>
                <c:pt idx="6">
                  <c:v>121</c:v>
                </c:pt>
                <c:pt idx="7">
                  <c:v>119</c:v>
                </c:pt>
                <c:pt idx="8">
                  <c:v>107</c:v>
                </c:pt>
                <c:pt idx="9">
                  <c:v>124</c:v>
                </c:pt>
                <c:pt idx="10">
                  <c:v>101</c:v>
                </c:pt>
                <c:pt idx="11">
                  <c:v>84</c:v>
                </c:pt>
                <c:pt idx="12">
                  <c:v>78</c:v>
                </c:pt>
                <c:pt idx="13">
                  <c:v>42</c:v>
                </c:pt>
                <c:pt idx="14">
                  <c:v>29</c:v>
                </c:pt>
                <c:pt idx="15">
                  <c:v>14</c:v>
                </c:pt>
                <c:pt idx="16">
                  <c:v>14</c:v>
                </c:pt>
                <c:pt idx="17">
                  <c:v>5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2E-4BA5-B67C-70C7873C2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5939936"/>
        <c:axId val="748682400"/>
      </c:barChart>
      <c:catAx>
        <c:axId val="935939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682400"/>
        <c:crosses val="autoZero"/>
        <c:auto val="1"/>
        <c:lblAlgn val="ctr"/>
        <c:lblOffset val="100"/>
        <c:noMultiLvlLbl val="0"/>
      </c:catAx>
      <c:valAx>
        <c:axId val="74868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593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93E9E66-BC70-4177-9F1A-32AD10D78718}">
  <sheetPr codeName="Chart26"/>
  <sheetViews>
    <sheetView zoomScale="8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25</xdr:row>
          <xdr:rowOff>83820</xdr:rowOff>
        </xdr:from>
        <xdr:to>
          <xdr:col>4</xdr:col>
          <xdr:colOff>403860</xdr:colOff>
          <xdr:row>27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89143" cy="60687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2CA03C1-5E9F-8B0C-49DF-82A5D11D58F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7"/>
  <sheetViews>
    <sheetView tabSelected="1" zoomScaleNormal="100" workbookViewId="0">
      <selection activeCell="G24" sqref="G24"/>
    </sheetView>
  </sheetViews>
  <sheetFormatPr defaultRowHeight="14.4" x14ac:dyDescent="0.3"/>
  <cols>
    <col min="1" max="1" width="19.109375" bestFit="1" customWidth="1"/>
    <col min="2" max="2" width="11.77734375" bestFit="1" customWidth="1"/>
    <col min="3" max="3" width="13.109375" customWidth="1"/>
    <col min="4" max="4" width="9.77734375" bestFit="1" customWidth="1"/>
    <col min="5" max="5" width="10.44140625" bestFit="1" customWidth="1"/>
    <col min="6" max="6" width="10.77734375" customWidth="1"/>
    <col min="7" max="7" width="11.88671875" bestFit="1" customWidth="1"/>
    <col min="8" max="8" width="11" customWidth="1"/>
    <col min="9" max="9" width="9.21875" bestFit="1" customWidth="1"/>
    <col min="10" max="10" width="9.109375" bestFit="1" customWidth="1"/>
  </cols>
  <sheetData>
    <row r="1" spans="1:16" x14ac:dyDescent="0.3">
      <c r="A1" t="s">
        <v>0</v>
      </c>
    </row>
    <row r="2" spans="1:16" ht="15" thickBot="1" x14ac:dyDescent="0.35"/>
    <row r="3" spans="1:16" x14ac:dyDescent="0.3">
      <c r="A3" t="s">
        <v>1</v>
      </c>
      <c r="B3" s="14">
        <v>-20</v>
      </c>
      <c r="D3" t="s">
        <v>2</v>
      </c>
      <c r="E3" s="12">
        <v>43.185404640141897</v>
      </c>
      <c r="G3" t="s">
        <v>3</v>
      </c>
      <c r="H3" s="4">
        <v>-7.0456975321857058</v>
      </c>
    </row>
    <row r="4" spans="1:16" ht="15" thickBot="1" x14ac:dyDescent="0.35">
      <c r="A4" t="s">
        <v>4</v>
      </c>
      <c r="B4" s="5">
        <v>-11.998468132058115</v>
      </c>
      <c r="D4" t="s">
        <v>5</v>
      </c>
      <c r="E4" s="13">
        <v>0.4</v>
      </c>
      <c r="G4" t="s">
        <v>6</v>
      </c>
      <c r="H4" s="6">
        <v>0.12576560974121093</v>
      </c>
    </row>
    <row r="5" spans="1:16" x14ac:dyDescent="0.3">
      <c r="A5" t="s">
        <v>7</v>
      </c>
      <c r="B5" s="7">
        <v>-74.842812383506839</v>
      </c>
    </row>
    <row r="6" spans="1:16" x14ac:dyDescent="0.3">
      <c r="A6" t="s">
        <v>8</v>
      </c>
      <c r="B6" s="7">
        <v>-21.463559865951538</v>
      </c>
      <c r="E6" t="s">
        <v>9</v>
      </c>
    </row>
    <row r="7" spans="1:16" ht="15" thickBot="1" x14ac:dyDescent="0.35">
      <c r="A7" t="s">
        <v>10</v>
      </c>
      <c r="B7" s="11">
        <v>-14.951023955777789</v>
      </c>
      <c r="E7" t="s">
        <v>11</v>
      </c>
    </row>
    <row r="8" spans="1:16" x14ac:dyDescent="0.3">
      <c r="M8" t="s">
        <v>12</v>
      </c>
    </row>
    <row r="9" spans="1:16" x14ac:dyDescent="0.3">
      <c r="A9" t="s">
        <v>13</v>
      </c>
      <c r="B9" t="s">
        <v>7</v>
      </c>
      <c r="C9" t="s">
        <v>8</v>
      </c>
      <c r="D9" t="s">
        <v>1</v>
      </c>
      <c r="E9" t="s">
        <v>14</v>
      </c>
      <c r="F9" t="s">
        <v>15</v>
      </c>
      <c r="G9" t="s">
        <v>16</v>
      </c>
      <c r="H9" t="s">
        <v>17</v>
      </c>
      <c r="I9" t="s">
        <v>2</v>
      </c>
      <c r="J9" t="s">
        <v>3</v>
      </c>
      <c r="K9" t="s">
        <v>18</v>
      </c>
      <c r="L9" t="s">
        <v>19</v>
      </c>
      <c r="M9" t="s">
        <v>20</v>
      </c>
      <c r="N9" t="s">
        <v>21</v>
      </c>
      <c r="P9" t="s">
        <v>22</v>
      </c>
    </row>
    <row r="10" spans="1:16" x14ac:dyDescent="0.3">
      <c r="A10">
        <v>1</v>
      </c>
      <c r="B10" s="8">
        <f>0.5*CTDC</f>
        <v>-37.42140619175342</v>
      </c>
      <c r="C10" s="8"/>
      <c r="D10" s="8">
        <f>Cland</f>
        <v>-20</v>
      </c>
      <c r="E10" s="8"/>
      <c r="F10" s="8"/>
      <c r="G10" s="8"/>
      <c r="H10" s="8"/>
      <c r="I10" s="8"/>
      <c r="J10" s="8"/>
      <c r="L10">
        <f>B10+D10</f>
        <v>-57.42140619175342</v>
      </c>
      <c r="M10" s="8">
        <f t="shared" ref="M10:M24" si="0">L10/(1+i)^(A10-1)</f>
        <v>-57.42140619175342</v>
      </c>
      <c r="N10" s="8">
        <f>M10</f>
        <v>-57.42140619175342</v>
      </c>
    </row>
    <row r="11" spans="1:16" x14ac:dyDescent="0.3">
      <c r="A11">
        <v>2</v>
      </c>
      <c r="B11" s="8">
        <f>0.5*CTDC</f>
        <v>-37.42140619175342</v>
      </c>
      <c r="C11" s="8">
        <f>WC</f>
        <v>-21.463559865951538</v>
      </c>
      <c r="D11" s="8"/>
      <c r="E11" s="8"/>
      <c r="F11" s="8">
        <f>Cstart</f>
        <v>-14.951023955777789</v>
      </c>
      <c r="G11" s="8"/>
      <c r="H11" s="8"/>
      <c r="I11" s="8"/>
      <c r="J11" s="8"/>
      <c r="L11">
        <f>B11+C11+F11</f>
        <v>-73.835990013482743</v>
      </c>
      <c r="M11" s="8">
        <f t="shared" si="0"/>
        <v>-65.587356173063441</v>
      </c>
      <c r="N11" s="8">
        <f>N10+M11</f>
        <v>-123.00876236481686</v>
      </c>
    </row>
    <row r="12" spans="1:16" x14ac:dyDescent="0.3">
      <c r="A12">
        <v>3</v>
      </c>
      <c r="B12" s="8"/>
      <c r="C12" s="8"/>
      <c r="D12" s="8"/>
      <c r="E12" s="8">
        <f t="shared" ref="E12:E24" si="1">Croyal</f>
        <v>-11.998468132058115</v>
      </c>
      <c r="F12" s="8"/>
      <c r="G12" s="8"/>
      <c r="H12" s="8">
        <f>P12*-CTDC</f>
        <v>10.695037889603126</v>
      </c>
      <c r="I12" s="8">
        <f>0.5*S</f>
        <v>21.592702320070948</v>
      </c>
      <c r="J12" s="8">
        <f>0.5*COS</f>
        <v>-3.5228487660928529</v>
      </c>
      <c r="K12" s="8">
        <f>(1-tax)*(I12-J12-H12)</f>
        <v>8.6523079179364046</v>
      </c>
      <c r="L12" s="8">
        <f t="shared" ref="L12:L23" si="2">K12+H12+E12</f>
        <v>7.3488776754814182</v>
      </c>
      <c r="M12" s="8">
        <f t="shared" si="0"/>
        <v>5.7986255305777172</v>
      </c>
      <c r="N12" s="8">
        <f t="shared" ref="N12:N23" si="3">N11+M12</f>
        <v>-117.21013683423914</v>
      </c>
      <c r="P12" s="9">
        <v>0.1429</v>
      </c>
    </row>
    <row r="13" spans="1:16" x14ac:dyDescent="0.3">
      <c r="A13">
        <v>4</v>
      </c>
      <c r="B13" s="8"/>
      <c r="C13" s="8"/>
      <c r="D13" s="8"/>
      <c r="E13" s="8">
        <f t="shared" si="1"/>
        <v>-11.998468132058115</v>
      </c>
      <c r="F13" s="8"/>
      <c r="G13" s="8"/>
      <c r="H13" s="8">
        <f t="shared" ref="H13:H19" si="4">P13*-CTDC</f>
        <v>18.329004752720824</v>
      </c>
      <c r="I13" s="8">
        <f>0.8*S</f>
        <v>34.548323712113522</v>
      </c>
      <c r="J13" s="8">
        <f>0.8*COS</f>
        <v>-5.636558025748565</v>
      </c>
      <c r="K13" s="8">
        <f t="shared" ref="K13:K24" si="5">(1-tax)*(I13-J13-H13)</f>
        <v>13.113526191084757</v>
      </c>
      <c r="L13" s="8">
        <f t="shared" si="2"/>
        <v>19.444062811747465</v>
      </c>
      <c r="M13" s="8">
        <f t="shared" si="0"/>
        <v>13.628343855362083</v>
      </c>
      <c r="N13" s="8">
        <f t="shared" si="3"/>
        <v>-103.58179297887705</v>
      </c>
      <c r="P13" s="9">
        <v>0.24490000000000001</v>
      </c>
    </row>
    <row r="14" spans="1:16" x14ac:dyDescent="0.3">
      <c r="A14">
        <v>5</v>
      </c>
      <c r="B14" s="8"/>
      <c r="C14" s="8"/>
      <c r="D14" s="8"/>
      <c r="E14" s="8">
        <f t="shared" si="1"/>
        <v>-11.998468132058115</v>
      </c>
      <c r="F14" s="8"/>
      <c r="G14" s="8"/>
      <c r="H14" s="8">
        <f t="shared" si="4"/>
        <v>13.090007885875346</v>
      </c>
      <c r="I14" s="8">
        <f t="shared" ref="I14:I24" si="6">S</f>
        <v>43.185404640141897</v>
      </c>
      <c r="J14" s="8">
        <f t="shared" ref="J14:J24" si="7">COS</f>
        <v>-7.0456975321857058</v>
      </c>
      <c r="K14" s="8">
        <f t="shared" si="5"/>
        <v>22.284656571871356</v>
      </c>
      <c r="L14" s="8">
        <f t="shared" si="2"/>
        <v>23.376196325688589</v>
      </c>
      <c r="M14" s="8">
        <f t="shared" si="0"/>
        <v>14.553985430133432</v>
      </c>
      <c r="N14" s="8">
        <f t="shared" si="3"/>
        <v>-89.02780754874361</v>
      </c>
      <c r="P14" s="9">
        <v>0.1749</v>
      </c>
    </row>
    <row r="15" spans="1:16" x14ac:dyDescent="0.3">
      <c r="A15">
        <v>6</v>
      </c>
      <c r="B15" s="8"/>
      <c r="C15" s="8"/>
      <c r="D15" s="8"/>
      <c r="E15" s="8">
        <f t="shared" si="1"/>
        <v>-11.998468132058115</v>
      </c>
      <c r="F15" s="8"/>
      <c r="G15" s="8"/>
      <c r="H15" s="8">
        <f t="shared" si="4"/>
        <v>9.3478672667000033</v>
      </c>
      <c r="I15" s="8">
        <f t="shared" si="6"/>
        <v>43.185404640141897</v>
      </c>
      <c r="J15" s="8">
        <f t="shared" si="7"/>
        <v>-7.0456975321857058</v>
      </c>
      <c r="K15" s="8">
        <f t="shared" si="5"/>
        <v>24.529940943376563</v>
      </c>
      <c r="L15" s="8">
        <f t="shared" si="2"/>
        <v>21.879340078018451</v>
      </c>
      <c r="M15" s="8">
        <f t="shared" si="0"/>
        <v>12.100249657081136</v>
      </c>
      <c r="N15" s="8">
        <f t="shared" si="3"/>
        <v>-76.927557891662474</v>
      </c>
      <c r="P15" s="9">
        <v>0.1249</v>
      </c>
    </row>
    <row r="16" spans="1:16" x14ac:dyDescent="0.3">
      <c r="A16">
        <v>7</v>
      </c>
      <c r="B16" s="8"/>
      <c r="C16" s="8"/>
      <c r="D16" s="8"/>
      <c r="E16" s="8">
        <f t="shared" si="1"/>
        <v>-11.998468132058115</v>
      </c>
      <c r="F16" s="8"/>
      <c r="G16" s="8"/>
      <c r="H16" s="8">
        <f t="shared" si="4"/>
        <v>6.6834631458471607</v>
      </c>
      <c r="I16" s="8">
        <f t="shared" si="6"/>
        <v>43.185404640141897</v>
      </c>
      <c r="J16" s="8">
        <f t="shared" si="7"/>
        <v>-7.0456975321857058</v>
      </c>
      <c r="K16" s="8">
        <f t="shared" si="5"/>
        <v>26.128583415888261</v>
      </c>
      <c r="L16" s="8">
        <f t="shared" si="2"/>
        <v>20.813578429677307</v>
      </c>
      <c r="M16" s="8">
        <f t="shared" si="0"/>
        <v>10.22489574439734</v>
      </c>
      <c r="N16" s="8">
        <f t="shared" si="3"/>
        <v>-66.70266214726513</v>
      </c>
      <c r="P16" s="9">
        <v>8.9300000000000004E-2</v>
      </c>
    </row>
    <row r="17" spans="1:16" x14ac:dyDescent="0.3">
      <c r="A17">
        <v>8</v>
      </c>
      <c r="B17" s="8"/>
      <c r="C17" s="8"/>
      <c r="D17" s="8"/>
      <c r="E17" s="8">
        <f t="shared" si="1"/>
        <v>-11.998468132058115</v>
      </c>
      <c r="F17" s="8"/>
      <c r="G17" s="8"/>
      <c r="H17" s="8">
        <f t="shared" si="4"/>
        <v>6.6759788646088101</v>
      </c>
      <c r="I17" s="8">
        <f t="shared" si="6"/>
        <v>43.185404640141897</v>
      </c>
      <c r="J17" s="8">
        <f t="shared" si="7"/>
        <v>-7.0456975321857058</v>
      </c>
      <c r="K17" s="8">
        <f t="shared" si="5"/>
        <v>26.133073984631277</v>
      </c>
      <c r="L17" s="8">
        <f t="shared" si="2"/>
        <v>20.810584717181975</v>
      </c>
      <c r="M17" s="8">
        <f t="shared" si="0"/>
        <v>9.0813087220459217</v>
      </c>
      <c r="N17" s="8">
        <f t="shared" si="3"/>
        <v>-57.621353425219212</v>
      </c>
      <c r="P17" s="9">
        <v>8.9200000000000002E-2</v>
      </c>
    </row>
    <row r="18" spans="1:16" x14ac:dyDescent="0.3">
      <c r="A18">
        <v>9</v>
      </c>
      <c r="B18" s="8"/>
      <c r="C18" s="8"/>
      <c r="D18" s="8"/>
      <c r="E18" s="8">
        <f t="shared" si="1"/>
        <v>-11.998468132058115</v>
      </c>
      <c r="F18" s="8"/>
      <c r="G18" s="8"/>
      <c r="H18" s="8">
        <f t="shared" si="4"/>
        <v>6.6834631458471607</v>
      </c>
      <c r="I18" s="8">
        <f t="shared" si="6"/>
        <v>43.185404640141897</v>
      </c>
      <c r="J18" s="8">
        <f t="shared" si="7"/>
        <v>-7.0456975321857058</v>
      </c>
      <c r="K18" s="8">
        <f t="shared" si="5"/>
        <v>26.128583415888261</v>
      </c>
      <c r="L18" s="8">
        <f t="shared" si="2"/>
        <v>20.813578429677307</v>
      </c>
      <c r="M18" s="8">
        <f t="shared" si="0"/>
        <v>8.0679450834747772</v>
      </c>
      <c r="N18" s="8">
        <f t="shared" si="3"/>
        <v>-49.553408341744436</v>
      </c>
      <c r="P18" s="9">
        <v>8.9300000000000004E-2</v>
      </c>
    </row>
    <row r="19" spans="1:16" x14ac:dyDescent="0.3">
      <c r="A19">
        <v>10</v>
      </c>
      <c r="B19" s="8"/>
      <c r="C19" s="8"/>
      <c r="D19" s="8"/>
      <c r="E19" s="8">
        <f t="shared" si="1"/>
        <v>-11.998468132058115</v>
      </c>
      <c r="F19" s="8"/>
      <c r="G19" s="8"/>
      <c r="H19" s="8">
        <f t="shared" si="4"/>
        <v>3.337989432304405</v>
      </c>
      <c r="I19" s="8">
        <f t="shared" si="6"/>
        <v>43.185404640141897</v>
      </c>
      <c r="J19" s="8">
        <f t="shared" si="7"/>
        <v>-7.0456975321857058</v>
      </c>
      <c r="K19" s="8">
        <f t="shared" si="5"/>
        <v>28.135867644013917</v>
      </c>
      <c r="L19" s="8">
        <f t="shared" si="2"/>
        <v>19.475388944260207</v>
      </c>
      <c r="M19" s="8">
        <f t="shared" si="0"/>
        <v>6.7058578297026576</v>
      </c>
      <c r="N19" s="8">
        <f>N18+M19</f>
        <v>-42.847550512041778</v>
      </c>
      <c r="P19" s="9">
        <v>4.4600000000000001E-2</v>
      </c>
    </row>
    <row r="20" spans="1:16" x14ac:dyDescent="0.3">
      <c r="A20">
        <v>11</v>
      </c>
      <c r="B20" s="8"/>
      <c r="C20" s="8"/>
      <c r="D20" s="8"/>
      <c r="E20" s="8">
        <f t="shared" si="1"/>
        <v>-11.998468132058115</v>
      </c>
      <c r="F20" s="8"/>
      <c r="G20" s="8"/>
      <c r="H20" s="8"/>
      <c r="I20" s="8">
        <f t="shared" si="6"/>
        <v>43.185404640141897</v>
      </c>
      <c r="J20" s="8">
        <f t="shared" si="7"/>
        <v>-7.0456975321857058</v>
      </c>
      <c r="K20" s="8">
        <f t="shared" si="5"/>
        <v>30.13866130339656</v>
      </c>
      <c r="L20" s="8">
        <f t="shared" si="2"/>
        <v>18.140193171338446</v>
      </c>
      <c r="M20" s="8">
        <f t="shared" si="0"/>
        <v>5.5483280587503989</v>
      </c>
      <c r="N20" s="8">
        <f t="shared" si="3"/>
        <v>-37.299222453291378</v>
      </c>
    </row>
    <row r="21" spans="1:16" x14ac:dyDescent="0.3">
      <c r="A21">
        <v>12</v>
      </c>
      <c r="B21" s="8"/>
      <c r="C21" s="8"/>
      <c r="D21" s="8"/>
      <c r="E21" s="8">
        <f t="shared" si="1"/>
        <v>-11.998468132058115</v>
      </c>
      <c r="F21" s="8"/>
      <c r="G21" s="8"/>
      <c r="H21" s="8"/>
      <c r="I21" s="8">
        <f t="shared" si="6"/>
        <v>43.185404640141897</v>
      </c>
      <c r="J21" s="8">
        <f t="shared" si="7"/>
        <v>-7.0456975321857058</v>
      </c>
      <c r="K21" s="8">
        <f t="shared" si="5"/>
        <v>30.13866130339656</v>
      </c>
      <c r="L21" s="8">
        <f t="shared" si="2"/>
        <v>18.140193171338446</v>
      </c>
      <c r="M21" s="8">
        <f t="shared" si="0"/>
        <v>4.9284931168094914</v>
      </c>
      <c r="N21" s="8">
        <f t="shared" si="3"/>
        <v>-32.370729336481887</v>
      </c>
    </row>
    <row r="22" spans="1:16" x14ac:dyDescent="0.3">
      <c r="A22">
        <v>13</v>
      </c>
      <c r="B22" s="8"/>
      <c r="C22" s="8"/>
      <c r="D22" s="8"/>
      <c r="E22" s="8">
        <f t="shared" si="1"/>
        <v>-11.998468132058115</v>
      </c>
      <c r="F22" s="8"/>
      <c r="G22" s="8"/>
      <c r="H22" s="8"/>
      <c r="I22" s="8">
        <f t="shared" si="6"/>
        <v>43.185404640141897</v>
      </c>
      <c r="J22" s="8">
        <f t="shared" si="7"/>
        <v>-7.0456975321857058</v>
      </c>
      <c r="K22" s="8">
        <f t="shared" si="5"/>
        <v>30.13866130339656</v>
      </c>
      <c r="L22" s="8">
        <f t="shared" si="2"/>
        <v>18.140193171338446</v>
      </c>
      <c r="M22" s="8">
        <f t="shared" si="0"/>
        <v>4.3779034233799736</v>
      </c>
      <c r="N22" s="8">
        <f t="shared" si="3"/>
        <v>-27.992825913101914</v>
      </c>
    </row>
    <row r="23" spans="1:16" ht="15" thickBot="1" x14ac:dyDescent="0.35">
      <c r="A23">
        <v>14</v>
      </c>
      <c r="B23" s="8"/>
      <c r="C23" s="8"/>
      <c r="D23" s="8"/>
      <c r="E23" s="8">
        <f t="shared" si="1"/>
        <v>-11.998468132058115</v>
      </c>
      <c r="F23" s="8"/>
      <c r="G23" s="8"/>
      <c r="H23" s="8"/>
      <c r="I23" s="8">
        <f t="shared" si="6"/>
        <v>43.185404640141897</v>
      </c>
      <c r="J23" s="8">
        <f t="shared" si="7"/>
        <v>-7.0456975321857058</v>
      </c>
      <c r="K23" s="8">
        <f t="shared" si="5"/>
        <v>30.13866130339656</v>
      </c>
      <c r="L23" s="8">
        <f t="shared" si="2"/>
        <v>18.140193171338446</v>
      </c>
      <c r="M23" s="8">
        <f t="shared" si="0"/>
        <v>3.8888232021818099</v>
      </c>
      <c r="N23" s="8">
        <f t="shared" si="3"/>
        <v>-24.104002710920103</v>
      </c>
    </row>
    <row r="24" spans="1:16" ht="15" thickBot="1" x14ac:dyDescent="0.35">
      <c r="A24">
        <v>15</v>
      </c>
      <c r="B24" s="8"/>
      <c r="C24" s="8">
        <f>-WC</f>
        <v>21.463559865951538</v>
      </c>
      <c r="D24" s="8"/>
      <c r="E24" s="8">
        <f t="shared" si="1"/>
        <v>-11.998468132058115</v>
      </c>
      <c r="F24" s="8"/>
      <c r="G24" s="8"/>
      <c r="H24" s="8"/>
      <c r="I24" s="8">
        <f t="shared" si="6"/>
        <v>43.185404640141897</v>
      </c>
      <c r="J24" s="8">
        <f t="shared" si="7"/>
        <v>-7.0456975321857058</v>
      </c>
      <c r="K24" s="8">
        <f t="shared" si="5"/>
        <v>30.13866130339656</v>
      </c>
      <c r="L24" s="8">
        <f>C24+K24+G24+E24</f>
        <v>39.603753037289984</v>
      </c>
      <c r="M24" s="8">
        <f t="shared" si="0"/>
        <v>7.5416202096338045</v>
      </c>
      <c r="N24" s="10">
        <f>N23+M24</f>
        <v>-16.562382501286297</v>
      </c>
    </row>
    <row r="25" spans="1:16" x14ac:dyDescent="0.3">
      <c r="C25" s="3"/>
      <c r="D25" s="2"/>
      <c r="E25" s="1"/>
      <c r="F25" s="2"/>
      <c r="G25" s="1"/>
      <c r="H25" s="1"/>
    </row>
    <row r="26" spans="1:16" x14ac:dyDescent="0.3">
      <c r="C26" s="3"/>
      <c r="D26" s="2"/>
      <c r="E26" s="1"/>
      <c r="F26" s="2"/>
      <c r="G26" s="1"/>
      <c r="H26" s="1"/>
    </row>
    <row r="27" spans="1:16" x14ac:dyDescent="0.3">
      <c r="C27" s="3"/>
      <c r="D27" s="2"/>
      <c r="E27" s="1"/>
      <c r="F27" s="2"/>
      <c r="G27" s="1"/>
      <c r="H27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orm">
                <anchor moveWithCells="1" sizeWithCells="1">
                  <from>
                    <xdr:col>2</xdr:col>
                    <xdr:colOff>891540</xdr:colOff>
                    <xdr:row>25</xdr:row>
                    <xdr:rowOff>83820</xdr:rowOff>
                  </from>
                  <to>
                    <xdr:col>4</xdr:col>
                    <xdr:colOff>403860</xdr:colOff>
                    <xdr:row>27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21"/>
  <sheetViews>
    <sheetView workbookViewId="0">
      <selection sqref="A1:B21"/>
    </sheetView>
  </sheetViews>
  <sheetFormatPr defaultRowHeight="14.4" x14ac:dyDescent="0.3"/>
  <sheetData>
    <row r="1" spans="1:2" x14ac:dyDescent="0.3">
      <c r="A1">
        <v>-76</v>
      </c>
      <c r="B1">
        <v>0</v>
      </c>
    </row>
    <row r="2" spans="1:2" x14ac:dyDescent="0.3">
      <c r="A2">
        <v>-68</v>
      </c>
      <c r="B2">
        <v>5</v>
      </c>
    </row>
    <row r="3" spans="1:2" x14ac:dyDescent="0.3">
      <c r="A3">
        <v>-60</v>
      </c>
      <c r="B3">
        <v>13</v>
      </c>
    </row>
    <row r="4" spans="1:2" x14ac:dyDescent="0.3">
      <c r="A4">
        <v>-52</v>
      </c>
      <c r="B4">
        <v>22</v>
      </c>
    </row>
    <row r="5" spans="1:2" x14ac:dyDescent="0.3">
      <c r="A5">
        <v>-44</v>
      </c>
      <c r="B5">
        <v>51</v>
      </c>
    </row>
    <row r="6" spans="1:2" x14ac:dyDescent="0.3">
      <c r="A6">
        <v>-36</v>
      </c>
      <c r="B6">
        <v>66</v>
      </c>
    </row>
    <row r="7" spans="1:2" x14ac:dyDescent="0.3">
      <c r="A7">
        <v>-28</v>
      </c>
      <c r="B7">
        <v>121</v>
      </c>
    </row>
    <row r="8" spans="1:2" x14ac:dyDescent="0.3">
      <c r="A8">
        <v>-20</v>
      </c>
      <c r="B8">
        <v>119</v>
      </c>
    </row>
    <row r="9" spans="1:2" x14ac:dyDescent="0.3">
      <c r="A9">
        <v>-12</v>
      </c>
      <c r="B9">
        <v>107</v>
      </c>
    </row>
    <row r="10" spans="1:2" x14ac:dyDescent="0.3">
      <c r="A10">
        <v>-4</v>
      </c>
      <c r="B10">
        <v>124</v>
      </c>
    </row>
    <row r="11" spans="1:2" x14ac:dyDescent="0.3">
      <c r="A11">
        <v>4</v>
      </c>
      <c r="B11">
        <v>101</v>
      </c>
    </row>
    <row r="12" spans="1:2" x14ac:dyDescent="0.3">
      <c r="A12">
        <v>12</v>
      </c>
      <c r="B12">
        <v>84</v>
      </c>
    </row>
    <row r="13" spans="1:2" x14ac:dyDescent="0.3">
      <c r="A13">
        <v>20</v>
      </c>
      <c r="B13">
        <v>78</v>
      </c>
    </row>
    <row r="14" spans="1:2" x14ac:dyDescent="0.3">
      <c r="A14">
        <v>28</v>
      </c>
      <c r="B14">
        <v>42</v>
      </c>
    </row>
    <row r="15" spans="1:2" x14ac:dyDescent="0.3">
      <c r="A15">
        <v>36</v>
      </c>
      <c r="B15">
        <v>29</v>
      </c>
    </row>
    <row r="16" spans="1:2" x14ac:dyDescent="0.3">
      <c r="A16">
        <v>44</v>
      </c>
      <c r="B16">
        <v>14</v>
      </c>
    </row>
    <row r="17" spans="1:2" x14ac:dyDescent="0.3">
      <c r="A17">
        <v>52</v>
      </c>
      <c r="B17">
        <v>14</v>
      </c>
    </row>
    <row r="18" spans="1:2" x14ac:dyDescent="0.3">
      <c r="A18">
        <v>60</v>
      </c>
      <c r="B18">
        <v>5</v>
      </c>
    </row>
    <row r="19" spans="1:2" x14ac:dyDescent="0.3">
      <c r="A19">
        <v>68</v>
      </c>
      <c r="B19">
        <v>3</v>
      </c>
    </row>
    <row r="20" spans="1:2" x14ac:dyDescent="0.3">
      <c r="A20">
        <v>76</v>
      </c>
      <c r="B20">
        <v>0</v>
      </c>
    </row>
    <row r="21" spans="1:2" x14ac:dyDescent="0.3">
      <c r="A21">
        <v>84</v>
      </c>
      <c r="B2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Main</vt:lpstr>
      <vt:lpstr>Histogram Data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Chang Jia Jie</cp:lastModifiedBy>
  <dcterms:created xsi:type="dcterms:W3CDTF">2013-10-29T18:00:12Z</dcterms:created>
  <dcterms:modified xsi:type="dcterms:W3CDTF">2023-09-20T06:02:04Z</dcterms:modified>
</cp:coreProperties>
</file>